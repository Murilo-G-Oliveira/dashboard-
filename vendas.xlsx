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urilo Oliveira\Downloads\"/>
    </mc:Choice>
  </mc:AlternateContent>
  <xr:revisionPtr revIDLastSave="0" documentId="8_{B35DC928-0AB3-425A-B20E-393AE0A2B5BF}" xr6:coauthVersionLast="47" xr6:coauthVersionMax="47" xr10:uidLastSave="{00000000-0000-0000-0000-000000000000}"/>
  <bookViews>
    <workbookView xWindow="-108" yWindow="-108" windowWidth="23256" windowHeight="12456" tabRatio="21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3" i="3" l="1"/>
</calcChain>
</file>

<file path=xl/sharedStrings.xml><?xml version="1.0" encoding="utf-8"?>
<sst xmlns="http://schemas.openxmlformats.org/spreadsheetml/2006/main" count="2013" uniqueCount="320">
  <si>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</si>
  <si>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</si>
  <si>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</si>
  <si>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</si>
  <si>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</si>
  <si>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</si>
  <si>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</si>
  <si>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</si>
  <si>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</si>
  <si>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</si>
  <si>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</si>
  <si>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</si>
  <si>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</si>
  <si>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</si>
  <si>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</si>
  <si>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</si>
  <si>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</si>
  <si>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</si>
  <si>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</si>
  <si>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</si>
  <si>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</si>
  <si>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</si>
  <si>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</si>
  <si>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</si>
  <si>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</si>
  <si>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</si>
  <si>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</si>
  <si>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</si>
  <si>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</si>
  <si>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</si>
  <si>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</si>
  <si>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</si>
  <si>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</si>
  <si>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</si>
  <si>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</si>
  <si>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</si>
  <si>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</si>
  <si>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</si>
  <si>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</si>
  <si>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</si>
  <si>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</si>
  <si>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</si>
  <si>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</si>
  <si>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</si>
  <si>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</si>
  <si>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</si>
  <si>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</si>
  <si>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</si>
  <si>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</si>
  <si>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</si>
  <si>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</si>
  <si>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</si>
  <si>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</si>
  <si>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</si>
  <si>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</si>
  <si>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</si>
  <si>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</si>
  <si>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</si>
  <si>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</si>
  <si>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</si>
  <si>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</si>
  <si>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</si>
  <si>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</si>
  <si>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</si>
  <si>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</si>
  <si>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</si>
  <si>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</si>
  <si>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</si>
  <si>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</si>
  <si>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</si>
  <si>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</si>
  <si>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</si>
  <si>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</si>
  <si>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</si>
  <si>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</si>
  <si>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</si>
  <si>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</si>
  <si>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</si>
  <si>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</si>
  <si>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</si>
  <si>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</si>
  <si>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</si>
  <si>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</si>
  <si>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</si>
  <si>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</si>
  <si>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</si>
  <si>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</si>
  <si>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</si>
  <si>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</si>
  <si>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</si>
  <si>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</si>
  <si>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</si>
  <si>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</si>
  <si>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</si>
  <si>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</si>
  <si>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</si>
  <si>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</si>
  <si>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</si>
  <si>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</si>
  <si>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</si>
  <si>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</si>
  <si>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</si>
  <si>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</si>
  <si>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</si>
  <si>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</si>
  <si>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</si>
  <si>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</si>
  <si>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</si>
  <si>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</si>
  <si>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</si>
  <si>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</si>
  <si>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</si>
  <si>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</si>
  <si>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</si>
  <si>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</si>
  <si>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</si>
  <si>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</si>
  <si>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</si>
  <si>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</si>
  <si>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</si>
  <si>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</si>
  <si>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</si>
  <si>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</si>
  <si>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</si>
  <si>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</si>
  <si>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</si>
  <si>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</si>
  <si>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</si>
  <si>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</si>
  <si>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</si>
  <si>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</si>
  <si>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</si>
  <si>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</si>
  <si>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</si>
  <si>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</si>
  <si>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</si>
  <si>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</si>
  <si>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</si>
  <si>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</si>
  <si>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</si>
  <si>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</si>
  <si>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</si>
  <si>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</si>
  <si>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</si>
  <si>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</si>
  <si>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</si>
  <si>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</si>
  <si>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</si>
  <si>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</si>
  <si>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</si>
  <si>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</si>
  <si>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</si>
  <si>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</si>
  <si>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</si>
  <si>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</si>
  <si>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</si>
  <si>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</si>
  <si>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</si>
  <si>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</si>
  <si>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</si>
  <si>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</si>
  <si>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</si>
  <si>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</si>
  <si>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</si>
  <si>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</si>
  <si>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</si>
  <si>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</si>
  <si>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</si>
  <si>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</si>
  <si>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</si>
  <si>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</si>
  <si>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</si>
  <si>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</si>
  <si>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</si>
  <si>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</si>
  <si>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</si>
  <si>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</si>
  <si>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</si>
  <si>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</si>
  <si>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</si>
  <si>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</si>
  <si>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</si>
  <si>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</si>
  <si>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</si>
  <si>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</si>
  <si>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</si>
  <si>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</si>
  <si>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</si>
  <si>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</si>
  <si>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</si>
  <si>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</si>
  <si>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</si>
  <si>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</si>
  <si>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</si>
  <si>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</si>
  <si>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</si>
  <si>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</si>
  <si>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</si>
  <si>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</si>
  <si>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</si>
  <si>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</si>
  <si>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</si>
  <si>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</si>
  <si>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</si>
  <si>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</si>
  <si>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</si>
  <si>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</si>
  <si>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</si>
  <si>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</si>
  <si>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</si>
  <si>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</si>
  <si>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</si>
  <si>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</si>
  <si>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</si>
  <si>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</si>
  <si>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</si>
  <si>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</si>
  <si>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</si>
  <si>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</si>
  <si>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</si>
  <si>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</si>
  <si>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</si>
  <si>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</si>
  <si>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</si>
  <si>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</si>
  <si>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</si>
  <si>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</si>
  <si>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</si>
  <si>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</si>
  <si>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</si>
  <si>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</si>
  <si>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</si>
  <si>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</si>
  <si>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</si>
  <si>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</si>
  <si>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</si>
  <si>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</si>
  <si>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</si>
  <si>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</si>
  <si>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</si>
  <si>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</si>
  <si>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</si>
  <si>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</si>
  <si>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</si>
  <si>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</si>
  <si>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</si>
  <si>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</si>
  <si>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</si>
  <si>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</si>
  <si>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</si>
  <si>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</si>
  <si>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</si>
  <si>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</si>
  <si>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</si>
  <si>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</si>
  <si>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</si>
  <si>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</si>
  <si>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</si>
  <si>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</si>
  <si>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</si>
  <si>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</si>
  <si>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</si>
  <si>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</si>
  <si>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</si>
  <si>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</si>
  <si>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</si>
  <si>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</si>
  <si>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</si>
  <si>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</si>
  <si>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</si>
  <si>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</si>
  <si>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</si>
  <si>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</si>
  <si>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</si>
  <si>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</si>
  <si>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</si>
  <si>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</si>
  <si>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</si>
  <si>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</si>
  <si>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</si>
  <si>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</si>
  <si>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</si>
  <si>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</si>
  <si>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</si>
  <si>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</si>
  <si>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</si>
  <si>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</si>
  <si>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</si>
  <si>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</si>
  <si>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</si>
  <si>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</si>
  <si>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</si>
  <si>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</si>
  <si>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</si>
  <si>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</si>
  <si>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</si>
  <si>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</si>
  <si>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</si>
  <si>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</si>
  <si>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</si>
  <si>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</si>
  <si>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</si>
  <si>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</si>
  <si>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</si>
  <si>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</si>
  <si>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</si>
  <si>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</si>
  <si>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</si>
  <si>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</si>
  <si>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</si>
  <si>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</si>
  <si>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</si>
  <si>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</si>
  <si>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</si>
  <si>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</si>
  <si>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</si>
  <si>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Soma de Coupon Value</t>
  </si>
  <si>
    <t>(Tudo)</t>
  </si>
  <si>
    <t>promoções de assinaturas do Xbox Game Pass</t>
  </si>
  <si>
    <t>Contagem de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</si>
</sst>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C55E"/>
      <name val="Aptos Narrow"/>
      <family val="2"/>
      <scheme val="minor"/>
    </font>
    <font>
      <b/>
      <u/>
      <sz val="24"/>
      <color theme="1"/>
      <name val="Calisto MT"/>
      <family val="1"/>
    </font>
    <font>
      <sz val="24"/>
      <color theme="1"/>
      <name val="Aptos Narrow"/>
      <family val="2"/>
      <scheme val="minor"/>
    </font>
    <font>
      <b/>
      <sz val="22"/>
      <color rgb="FF00B05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8" borderId="0" xfId="0" applyFill="1"/>
    <xf numFmtId="0" fontId="0" fillId="9" borderId="0" xfId="0" applyFill="1"/>
    <xf numFmtId="44" fontId="0" fillId="0" borderId="0" xfId="2" applyFont="1"/>
    <xf numFmtId="44" fontId="0" fillId="0" borderId="0" xfId="0" applyNumberFormat="1"/>
    <xf numFmtId="0" fontId="0" fillId="9" borderId="0" xfId="0" applyFill="1" applyBorder="1"/>
    <xf numFmtId="0" fontId="5" fillId="9" borderId="0" xfId="0" applyFont="1" applyFill="1" applyBorder="1" applyAlignment="1">
      <alignment vertical="center"/>
    </xf>
    <xf numFmtId="0" fontId="6" fillId="9" borderId="0" xfId="0" applyFont="1" applyFill="1" applyBorder="1"/>
    <xf numFmtId="0" fontId="7" fillId="0" borderId="2" xfId="1" applyFont="1" applyBorder="1"/>
    <xf numFmtId="0" fontId="7" fillId="9" borderId="2" xfId="1" applyFont="1" applyFill="1" applyBorder="1" applyAlignment="1">
      <alignment vertical="center"/>
    </xf>
    <xf numFmtId="0" fontId="7" fillId="9" borderId="2" xfId="1" applyFont="1" applyFill="1" applyBorder="1"/>
    <xf numFmtId="0" fontId="0" fillId="9" borderId="2" xfId="0" applyFill="1" applyBorder="1"/>
  </cellXfs>
  <cellStyles count="3">
    <cellStyle name="Moeda" xfId="2" builtinId="4"/>
    <cellStyle name="Normal" xfId="0" builtinId="0"/>
    <cellStyle name="Título 1" xfId="1" builtinId="16"/>
  </cellStyles>
  <dxfs count="17">
    <dxf>
      <numFmt numFmtId="34" formatCode="_-&quot;R$&quot;\ * #,##0.00_-;\-&quot;R$&quot;\ * #,##0.00_-;_-&quot;R$&quot;\ * &quot;-&quot;??_-;_-@_-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3E470248-B052-4B56-A084-435C7614ECA5}">
      <tableStyleElement type="wholeTable" dxfId="2"/>
      <tableStyleElement type="headerRow" dxfId="1"/>
    </tableStyle>
  </tableStyles>
  <colors>
    <mruColors>
      <color rgb="FF22C55E"/>
      <color rgb="FF2AE6B1"/>
      <color rgb="FFEDEDED"/>
      <color rgb="FFE8E6E9"/>
      <color rgb="FF5BF6A8"/>
      <color rgb="FF000000"/>
      <color rgb="FFE0E0E0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[vendas.xlsx]C̳álculos!Tabela dinâmica1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C̳álculos!$D$7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C̳álculos!$C$8:$C$10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C̳álculos!$D$8:$D$10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B-4EB6-BF9D-D25C84851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1535"/>
        <c:axId val="959922015"/>
        <c:axId val="0"/>
      </c:bar3DChart>
      <c:catAx>
        <c:axId val="9599215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9922015"/>
        <c:crosses val="autoZero"/>
        <c:auto val="1"/>
        <c:lblAlgn val="ctr"/>
        <c:lblOffset val="100"/>
        <c:noMultiLvlLbl val="0"/>
      </c:catAx>
      <c:valAx>
        <c:axId val="95992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992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[vendas.xlsx]C̳álculos!Tabela dinâmica1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solidFill>
              <a:schemeClr val="bg1"/>
            </a:solidFill>
          </a:ln>
          <a:effectLst/>
          <a:sp3d>
            <a:contourClr>
              <a:schemeClr val="bg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solidFill>
              <a:schemeClr val="bg1"/>
            </a:solidFill>
          </a:ln>
          <a:effectLst/>
          <a:sp3d>
            <a:contourClr>
              <a:schemeClr val="bg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+mj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C̳álculos!$D$7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solidFill>
                <a:schemeClr val="bg1"/>
              </a:solidFill>
            </a:ln>
            <a:effectLst/>
            <a:sp3d>
              <a:contourClr>
                <a:schemeClr val="bg1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C̳álculos!$C$8:$C$10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C̳álculos!$D$8:$D$10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3-4B18-9F95-66B7276F8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1535"/>
        <c:axId val="959922015"/>
        <c:axId val="0"/>
      </c:bar3DChart>
      <c:catAx>
        <c:axId val="9599215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9922015"/>
        <c:crosses val="autoZero"/>
        <c:auto val="1"/>
        <c:lblAlgn val="ctr"/>
        <c:lblOffset val="100"/>
        <c:noMultiLvlLbl val="0"/>
      </c:catAx>
      <c:valAx>
        <c:axId val="959922015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5992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[vendas.xlsx]C̳álculos!Tabela dinâmica3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AE6B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AE6B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AE6B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AE6B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C̳álculos!$D$24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C1-4A6B-BCD0-005A9ED7D489}"/>
              </c:ext>
            </c:extLst>
          </c:dPt>
          <c:dPt>
            <c:idx val="1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3C1-4A6B-BCD0-005A9ED7D489}"/>
              </c:ext>
            </c:extLst>
          </c:dPt>
          <c:dPt>
            <c:idx val="2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C1-4A6B-BCD0-005A9ED7D489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C1-4A6B-BCD0-005A9ED7D489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C1-4A6B-BCD0-005A9ED7D489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C1-4A6B-BCD0-005A9ED7D4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C̳álculos!$C$25:$C$28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C̳álculos!$D$25:$D$28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1-4A6B-BCD0-005A9ED7D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7943951"/>
        <c:axId val="767942031"/>
      </c:barChart>
      <c:catAx>
        <c:axId val="767943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7942031"/>
        <c:crosses val="autoZero"/>
        <c:auto val="1"/>
        <c:lblAlgn val="ctr"/>
        <c:lblOffset val="100"/>
        <c:noMultiLvlLbl val="0"/>
      </c:catAx>
      <c:valAx>
        <c:axId val="7679420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6794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110490</xdr:rowOff>
    </xdr:from>
    <xdr:to>
      <xdr:col>9</xdr:col>
      <xdr:colOff>2065020</xdr:colOff>
      <xdr:row>17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62F5ED-6BBD-2051-FF7F-66C12DE77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190500</xdr:colOff>
      <xdr:row>2</xdr:row>
      <xdr:rowOff>76200</xdr:rowOff>
    </xdr:from>
    <xdr:to>
      <xdr:col>10</xdr:col>
      <xdr:colOff>2019300</xdr:colOff>
      <xdr:row>16</xdr:row>
      <xdr:rowOff>97155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567110BF-10E6-4BE9-5048-2D5BF770B7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00" y="44196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247650</xdr:rowOff>
    </xdr:from>
    <xdr:to>
      <xdr:col>0</xdr:col>
      <xdr:colOff>1602639</xdr:colOff>
      <xdr:row>0</xdr:row>
      <xdr:rowOff>714375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C246C8E-9212-4B83-9754-A811CEC42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"/>
          <a:ext cx="1602639" cy="466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1619250</xdr:colOff>
      <xdr:row>16</xdr:row>
      <xdr:rowOff>19049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 1">
              <a:extLst>
                <a:ext uri="{FF2B5EF4-FFF2-40B4-BE49-F238E27FC236}">
                  <a16:creationId xmlns:a16="http://schemas.microsoft.com/office/drawing/2014/main" id="{390CD0DE-B7F0-423A-9F1D-B331A94421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06706"/>
              <a:ext cx="1619250" cy="18747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57149</xdr:colOff>
      <xdr:row>2</xdr:row>
      <xdr:rowOff>57148</xdr:rowOff>
    </xdr:from>
    <xdr:to>
      <xdr:col>6</xdr:col>
      <xdr:colOff>352425</xdr:colOff>
      <xdr:row>16</xdr:row>
      <xdr:rowOff>171449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D1376031-1921-AA09-A65E-0FED6B077CE4}"/>
            </a:ext>
          </a:extLst>
        </xdr:cNvPr>
        <xdr:cNvGrpSpPr/>
      </xdr:nvGrpSpPr>
      <xdr:grpSpPr>
        <a:xfrm>
          <a:off x="1688725" y="1141877"/>
          <a:ext cx="2975724" cy="2991972"/>
          <a:chOff x="2305049" y="1352549"/>
          <a:chExt cx="2790825" cy="1790700"/>
        </a:xfrm>
      </xdr:grpSpPr>
      <xdr:sp macro="" textlink="C̳álculos!F23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18B65C24-9797-1050-AD43-9256BB9C71B1}"/>
              </a:ext>
            </a:extLst>
          </xdr:cNvPr>
          <xdr:cNvSpPr/>
        </xdr:nvSpPr>
        <xdr:spPr>
          <a:xfrm>
            <a:off x="2305049" y="1381124"/>
            <a:ext cx="2790825" cy="1762125"/>
          </a:xfrm>
          <a:prstGeom prst="roundRect">
            <a:avLst>
              <a:gd name="adj" fmla="val 1072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61944AE-3C24-4096-941C-9DA59190CF5B}" type="TxLink">
              <a:rPr lang="en-US" sz="2800" b="0" i="0" u="none" strike="noStrike">
                <a:solidFill>
                  <a:srgbClr val="000000"/>
                </a:solidFill>
                <a:latin typeface="Aptos Narrow"/>
              </a:rPr>
              <a:pPr algn="ctr"/>
              <a:t> R$ 2.122,00 </a:t>
            </a:fld>
            <a:endParaRPr lang="pt-BR" sz="2800"/>
          </a:p>
        </xdr:txBody>
      </xdr:sp>
      <xdr:sp macro="" textlink="">
        <xdr:nvSpPr>
          <xdr:cNvPr id="5" name="Retângulo: Cantos Superiores Arredondados 4">
            <a:extLst>
              <a:ext uri="{FF2B5EF4-FFF2-40B4-BE49-F238E27FC236}">
                <a16:creationId xmlns:a16="http://schemas.microsoft.com/office/drawing/2014/main" id="{D6738065-91CF-D24E-9553-79FBEC543E8C}"/>
              </a:ext>
            </a:extLst>
          </xdr:cNvPr>
          <xdr:cNvSpPr/>
        </xdr:nvSpPr>
        <xdr:spPr>
          <a:xfrm>
            <a:off x="2305050" y="1352549"/>
            <a:ext cx="2781300" cy="295275"/>
          </a:xfrm>
          <a:prstGeom prst="round2SameRect">
            <a:avLst>
              <a:gd name="adj1" fmla="val 16667"/>
              <a:gd name="adj2" fmla="val 10000"/>
            </a:avLst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</a:t>
            </a:r>
            <a:r>
              <a:rPr lang="pt-BR" sz="1100" baseline="0"/>
              <a:t> de descontos</a:t>
            </a:r>
            <a:endParaRPr lang="pt-BR" sz="1100"/>
          </a:p>
        </xdr:txBody>
      </xdr:sp>
    </xdr:grpSp>
    <xdr:clientData/>
  </xdr:twoCellAnchor>
  <xdr:twoCellAnchor>
    <xdr:from>
      <xdr:col>7</xdr:col>
      <xdr:colOff>122704</xdr:colOff>
      <xdr:row>2</xdr:row>
      <xdr:rowOff>84044</xdr:rowOff>
    </xdr:from>
    <xdr:to>
      <xdr:col>19</xdr:col>
      <xdr:colOff>56029</xdr:colOff>
      <xdr:row>17</xdr:row>
      <xdr:rowOff>26894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44E2185A-C810-3803-1B17-E0A79717C1CD}"/>
            </a:ext>
          </a:extLst>
        </xdr:cNvPr>
        <xdr:cNvGrpSpPr/>
      </xdr:nvGrpSpPr>
      <xdr:grpSpPr>
        <a:xfrm>
          <a:off x="5044328" y="1168773"/>
          <a:ext cx="7087160" cy="2999815"/>
          <a:chOff x="7210425" y="1485900"/>
          <a:chExt cx="4705350" cy="263842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FD20A6D2-F978-1615-4E35-C7125470DB9D}"/>
              </a:ext>
            </a:extLst>
          </xdr:cNvPr>
          <xdr:cNvSpPr/>
        </xdr:nvSpPr>
        <xdr:spPr>
          <a:xfrm>
            <a:off x="7210425" y="1638299"/>
            <a:ext cx="4705350" cy="2486026"/>
          </a:xfrm>
          <a:prstGeom prst="roundRect">
            <a:avLst>
              <a:gd name="adj" fmla="val 9342"/>
            </a:avLst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FD8582DA-C465-43C4-6B35-8016459D8525}"/>
              </a:ext>
            </a:extLst>
          </xdr:cNvPr>
          <xdr:cNvGraphicFramePr>
            <a:graphicFrameLocks/>
          </xdr:cNvGraphicFramePr>
        </xdr:nvGraphicFramePr>
        <xdr:xfrm>
          <a:off x="7277100" y="1638301"/>
          <a:ext cx="4572000" cy="24003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2B492990-627B-06ED-F321-F653AB59B225}"/>
              </a:ext>
            </a:extLst>
          </xdr:cNvPr>
          <xdr:cNvSpPr/>
        </xdr:nvSpPr>
        <xdr:spPr>
          <a:xfrm>
            <a:off x="7210425" y="1485900"/>
            <a:ext cx="4705350" cy="342900"/>
          </a:xfrm>
          <a:prstGeom prst="round2Same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0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de assinaturas do Xbox Game Pass</a:t>
            </a:r>
            <a:endParaRPr lang="pt-BR" sz="1100"/>
          </a:p>
        </xdr:txBody>
      </xdr:sp>
    </xdr:grpSp>
    <xdr:clientData/>
  </xdr:twoCellAnchor>
  <xdr:twoCellAnchor>
    <xdr:from>
      <xdr:col>1</xdr:col>
      <xdr:colOff>38099</xdr:colOff>
      <xdr:row>17</xdr:row>
      <xdr:rowOff>85725</xdr:rowOff>
    </xdr:from>
    <xdr:to>
      <xdr:col>19</xdr:col>
      <xdr:colOff>38100</xdr:colOff>
      <xdr:row>34</xdr:row>
      <xdr:rowOff>152400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1BB8A8A0-5226-4F90-C636-FD5B2D5B6E93}"/>
            </a:ext>
          </a:extLst>
        </xdr:cNvPr>
        <xdr:cNvGrpSpPr/>
      </xdr:nvGrpSpPr>
      <xdr:grpSpPr>
        <a:xfrm>
          <a:off x="1669675" y="4227419"/>
          <a:ext cx="10443884" cy="3114675"/>
          <a:chOff x="2114549" y="3762375"/>
          <a:chExt cx="4857751" cy="30194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C0EA8C71-C373-F76D-1880-8CC168D66DE8}"/>
              </a:ext>
            </a:extLst>
          </xdr:cNvPr>
          <xdr:cNvSpPr/>
        </xdr:nvSpPr>
        <xdr:spPr>
          <a:xfrm>
            <a:off x="2124075" y="3790950"/>
            <a:ext cx="4848225" cy="2990850"/>
          </a:xfrm>
          <a:prstGeom prst="roundRect">
            <a:avLst>
              <a:gd name="adj" fmla="val 13482"/>
            </a:avLst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8" name="Gráfico 17">
            <a:extLst>
              <a:ext uri="{FF2B5EF4-FFF2-40B4-BE49-F238E27FC236}">
                <a16:creationId xmlns:a16="http://schemas.microsoft.com/office/drawing/2014/main" id="{0238A2DC-C214-D65F-886D-14D4BB5D7160}"/>
              </a:ext>
            </a:extLst>
          </xdr:cNvPr>
          <xdr:cNvGraphicFramePr>
            <a:graphicFrameLocks/>
          </xdr:cNvGraphicFramePr>
        </xdr:nvGraphicFramePr>
        <xdr:xfrm>
          <a:off x="2247899" y="4181474"/>
          <a:ext cx="4619625" cy="24288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56C7855A-1D2E-38CC-F7FD-66EB16899E31}"/>
              </a:ext>
            </a:extLst>
          </xdr:cNvPr>
          <xdr:cNvSpPr/>
        </xdr:nvSpPr>
        <xdr:spPr>
          <a:xfrm>
            <a:off x="2114549" y="3762375"/>
            <a:ext cx="4857751" cy="361950"/>
          </a:xfrm>
          <a:prstGeom prst="round2Same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/>
              <a:t>Total</a:t>
            </a:r>
            <a:r>
              <a:rPr lang="pt-BR" sz="1100" baseline="0"/>
              <a:t> de planos </a:t>
            </a:r>
            <a:endParaRPr lang="pt-BR" sz="11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rilo Oliveira" refreshedDate="46116.675332523148" createdVersion="8" refreshedVersion="8" minRefreshableVersion="3" recordCount="295" xr:uid="{FD3A0B01-D76D-4998-9253-9EAC67A0B3C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518638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771C5-ADE4-4278-A1F8-1660A02987B7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C24:D28" firstHeaderRow="1" firstDataRow="1" firstDataCol="1"/>
  <pivotFields count="13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 defaultSubtotal="0">
      <items count="3">
        <item x="1"/>
        <item x="0"/>
        <item x="2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lan" fld="2" subtotal="count" baseField="0" baseItem="0"/>
  </dataFields>
  <chartFormats count="10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E6286-19BD-4921-9B85-B25F41731C22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C15:D19" firstHeaderRow="1" firstDataRow="1" firstDataCol="1"/>
  <pivotFields count="13">
    <pivotField showAll="0"/>
    <pivotField showAll="0"/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Coupon Value" fld="11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7378F-093C-4135-BC02-18A98C258DD6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C7:D10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"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D02685B-C1D1-43B9-B3E4-0493E7258172}" sourceName="Subscription Type">
  <pivotTables>
    <pivotTable tabId="3" name="Tabela dinâmica2"/>
    <pivotTable tabId="3" name="Tabela dinâmica1"/>
    <pivotTable tabId="3" name="Tabela dinâmica3"/>
  </pivotTables>
  <data>
    <tabular pivotCacheId="1551863887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3D84168-BA28-4BD4-A1B0-E399A3B46307}" cache="SegmentaçãodeDados_Subscription_Type" caption="Subscription Type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E7CBA74A-9300-403D-B400-879BAAB9D478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/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7" sqref="B7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1:F28"/>
  <sheetViews>
    <sheetView showGridLines="0" topLeftCell="A13" zoomScaleNormal="100" workbookViewId="0">
      <selection activeCell="B7" sqref="B7"/>
    </sheetView>
  </sheetViews>
  <sheetFormatPr defaultRowHeight="14.4" x14ac:dyDescent="0.3"/>
  <cols>
    <col min="3" max="3" width="16.77734375" bestFit="1" customWidth="1"/>
    <col min="4" max="4" width="16" bestFit="1" customWidth="1"/>
    <col min="5" max="5" width="7.5546875" bestFit="1" customWidth="1"/>
    <col min="6" max="6" width="11.88671875" bestFit="1" customWidth="1"/>
    <col min="7" max="7" width="10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3:4" s="15" customFormat="1" x14ac:dyDescent="0.3"/>
    <row r="5" spans="3:4" x14ac:dyDescent="0.3">
      <c r="C5" s="12" t="s">
        <v>16</v>
      </c>
      <c r="D5" t="s">
        <v>317</v>
      </c>
    </row>
    <row r="7" spans="3:4" x14ac:dyDescent="0.3">
      <c r="C7" s="12" t="s">
        <v>313</v>
      </c>
      <c r="D7" t="s">
        <v>315</v>
      </c>
    </row>
    <row r="8" spans="3:4" x14ac:dyDescent="0.3">
      <c r="C8" s="13" t="s">
        <v>23</v>
      </c>
      <c r="D8" s="19">
        <v>3847</v>
      </c>
    </row>
    <row r="9" spans="3:4" x14ac:dyDescent="0.3">
      <c r="C9" s="13" t="s">
        <v>19</v>
      </c>
      <c r="D9" s="19">
        <v>3786</v>
      </c>
    </row>
    <row r="10" spans="3:4" x14ac:dyDescent="0.3">
      <c r="C10" s="13" t="s">
        <v>314</v>
      </c>
      <c r="D10" s="19">
        <v>7633</v>
      </c>
    </row>
    <row r="15" spans="3:4" x14ac:dyDescent="0.3">
      <c r="C15" s="12" t="s">
        <v>313</v>
      </c>
      <c r="D15" t="s">
        <v>316</v>
      </c>
    </row>
    <row r="16" spans="3:4" x14ac:dyDescent="0.3">
      <c r="C16" s="13" t="s">
        <v>24</v>
      </c>
      <c r="D16" s="14">
        <v>476</v>
      </c>
    </row>
    <row r="17" spans="3:6" x14ac:dyDescent="0.3">
      <c r="C17" s="13" t="s">
        <v>20</v>
      </c>
      <c r="D17" s="14">
        <v>949</v>
      </c>
    </row>
    <row r="18" spans="3:6" x14ac:dyDescent="0.3">
      <c r="C18" s="13" t="s">
        <v>27</v>
      </c>
      <c r="D18" s="14">
        <v>697</v>
      </c>
    </row>
    <row r="19" spans="3:6" x14ac:dyDescent="0.3">
      <c r="C19" s="13" t="s">
        <v>314</v>
      </c>
      <c r="D19" s="14">
        <v>2122</v>
      </c>
    </row>
    <row r="23" spans="3:6" x14ac:dyDescent="0.3">
      <c r="F23" s="18">
        <f>GETPIVOTDATA("Coupon Value",$C$15)</f>
        <v>2122</v>
      </c>
    </row>
    <row r="24" spans="3:6" x14ac:dyDescent="0.3">
      <c r="C24" s="12" t="s">
        <v>313</v>
      </c>
      <c r="D24" t="s">
        <v>319</v>
      </c>
    </row>
    <row r="25" spans="3:6" x14ac:dyDescent="0.3">
      <c r="C25" s="13" t="s">
        <v>22</v>
      </c>
      <c r="D25" s="14">
        <v>101</v>
      </c>
    </row>
    <row r="26" spans="3:6" x14ac:dyDescent="0.3">
      <c r="C26" s="13" t="s">
        <v>26</v>
      </c>
      <c r="D26" s="14">
        <v>96</v>
      </c>
    </row>
    <row r="27" spans="3:6" x14ac:dyDescent="0.3">
      <c r="C27" s="13" t="s">
        <v>18</v>
      </c>
      <c r="D27" s="14">
        <v>98</v>
      </c>
    </row>
    <row r="28" spans="3:6" x14ac:dyDescent="0.3">
      <c r="C28" s="13" t="s">
        <v>314</v>
      </c>
      <c r="D28" s="14">
        <v>295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BQ162"/>
  <sheetViews>
    <sheetView showGridLines="0" showRowColHeaders="0" tabSelected="1" zoomScale="85" zoomScaleNormal="85" workbookViewId="0">
      <selection activeCell="V5" sqref="V5"/>
    </sheetView>
  </sheetViews>
  <sheetFormatPr defaultRowHeight="14.4" x14ac:dyDescent="0.3"/>
  <cols>
    <col min="1" max="1" width="23.77734375" style="5" customWidth="1"/>
    <col min="2" max="2" width="3.5546875" customWidth="1"/>
    <col min="12" max="12" width="6.5546875" customWidth="1"/>
  </cols>
  <sheetData>
    <row r="1" spans="1:69" s="17" customFormat="1" ht="63.6" customHeight="1" thickBot="1" x14ac:dyDescent="0.6">
      <c r="C1" s="23" t="s">
        <v>318</v>
      </c>
      <c r="D1" s="24"/>
      <c r="E1" s="24"/>
      <c r="F1" s="24"/>
      <c r="G1" s="24"/>
      <c r="H1" s="25"/>
      <c r="I1" s="25"/>
      <c r="J1" s="25"/>
      <c r="K1" s="25"/>
      <c r="L1" s="26"/>
      <c r="M1" s="26"/>
      <c r="N1" s="26"/>
      <c r="O1" s="26"/>
      <c r="P1" s="26"/>
      <c r="Q1" s="26"/>
      <c r="R1" s="26"/>
      <c r="S1" s="26"/>
    </row>
    <row r="2" spans="1:69" s="17" customFormat="1" ht="21.6" customHeight="1" thickTop="1" x14ac:dyDescent="0.6">
      <c r="C2" s="20"/>
      <c r="D2" s="21"/>
      <c r="E2" s="21"/>
      <c r="F2" s="21"/>
      <c r="G2" s="21"/>
      <c r="H2" s="22"/>
      <c r="I2" s="22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69" s="16" customFormat="1" ht="39" customHeight="1" x14ac:dyDescent="0.3">
      <c r="A3" s="5"/>
    </row>
    <row r="4" spans="1:69" x14ac:dyDescent="0.3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</row>
    <row r="5" spans="1:69" ht="8.25" customHeight="1" x14ac:dyDescent="0.3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</row>
    <row r="6" spans="1:69" ht="10.5" customHeight="1" x14ac:dyDescent="0.3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</row>
    <row r="7" spans="1:69" ht="9.75" customHeight="1" x14ac:dyDescent="0.3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</row>
    <row r="8" spans="1:69" ht="33" customHeight="1" x14ac:dyDescent="0.3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</row>
    <row r="9" spans="1:69" x14ac:dyDescent="0.3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</row>
    <row r="10" spans="1:69" x14ac:dyDescent="0.3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</row>
    <row r="11" spans="1:69" x14ac:dyDescent="0.3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</row>
    <row r="12" spans="1:69" x14ac:dyDescent="0.3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</row>
    <row r="13" spans="1:69" x14ac:dyDescent="0.3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</row>
    <row r="14" spans="1:69" x14ac:dyDescent="0.3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</row>
    <row r="15" spans="1:69" x14ac:dyDescent="0.3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</row>
    <row r="16" spans="1:69" x14ac:dyDescent="0.3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</row>
    <row r="17" spans="2:69" x14ac:dyDescent="0.3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</row>
    <row r="18" spans="2:69" x14ac:dyDescent="0.3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</row>
    <row r="19" spans="2:69" x14ac:dyDescent="0.3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</row>
    <row r="20" spans="2:69" x14ac:dyDescent="0.3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</row>
    <row r="21" spans="2:69" x14ac:dyDescent="0.3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</row>
    <row r="22" spans="2:69" x14ac:dyDescent="0.3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</row>
    <row r="23" spans="2:69" x14ac:dyDescent="0.3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</row>
    <row r="24" spans="2:69" x14ac:dyDescent="0.3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</row>
    <row r="25" spans="2:69" x14ac:dyDescent="0.3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</row>
    <row r="26" spans="2:69" x14ac:dyDescent="0.3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</row>
    <row r="27" spans="2:69" x14ac:dyDescent="0.3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</row>
    <row r="28" spans="2:69" x14ac:dyDescent="0.3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</row>
    <row r="29" spans="2:69" x14ac:dyDescent="0.3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</row>
    <row r="30" spans="2:69" x14ac:dyDescent="0.3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</row>
    <row r="31" spans="2:69" x14ac:dyDescent="0.3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</row>
    <row r="32" spans="2:69" x14ac:dyDescent="0.3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</row>
    <row r="33" spans="2:69" x14ac:dyDescent="0.3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</row>
    <row r="34" spans="2:69" x14ac:dyDescent="0.3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</row>
    <row r="35" spans="2:69" x14ac:dyDescent="0.3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</row>
    <row r="36" spans="2:69" x14ac:dyDescent="0.3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</row>
    <row r="37" spans="2:69" x14ac:dyDescent="0.3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</row>
    <row r="38" spans="2:69" x14ac:dyDescent="0.3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</row>
    <row r="39" spans="2:69" x14ac:dyDescent="0.3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</row>
    <row r="40" spans="2:69" x14ac:dyDescent="0.3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</row>
    <row r="41" spans="2:69" x14ac:dyDescent="0.3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</row>
    <row r="42" spans="2:69" x14ac:dyDescent="0.3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</row>
    <row r="43" spans="2:69" x14ac:dyDescent="0.3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</row>
    <row r="44" spans="2:69" x14ac:dyDescent="0.3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</row>
    <row r="45" spans="2:69" x14ac:dyDescent="0.3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</row>
    <row r="46" spans="2:69" x14ac:dyDescent="0.3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</row>
    <row r="47" spans="2:69" x14ac:dyDescent="0.3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</row>
    <row r="48" spans="2:69" x14ac:dyDescent="0.3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</row>
    <row r="49" spans="2:69" x14ac:dyDescent="0.3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</row>
    <row r="50" spans="2:69" x14ac:dyDescent="0.3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</row>
    <row r="51" spans="2:69" x14ac:dyDescent="0.3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</row>
    <row r="52" spans="2:69" x14ac:dyDescent="0.3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</row>
    <row r="53" spans="2:69" x14ac:dyDescent="0.3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</row>
    <row r="54" spans="2:69" x14ac:dyDescent="0.3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</row>
    <row r="55" spans="2:69" x14ac:dyDescent="0.3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</row>
    <row r="56" spans="2:69" x14ac:dyDescent="0.3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</row>
    <row r="57" spans="2:69" x14ac:dyDescent="0.3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</row>
    <row r="58" spans="2:69" x14ac:dyDescent="0.3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</row>
    <row r="59" spans="2:69" x14ac:dyDescent="0.3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</row>
    <row r="60" spans="2:69" x14ac:dyDescent="0.3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</row>
    <row r="61" spans="2:69" x14ac:dyDescent="0.3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</row>
    <row r="62" spans="2:69" x14ac:dyDescent="0.3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</row>
    <row r="63" spans="2:69" x14ac:dyDescent="0.3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</row>
    <row r="64" spans="2:69" x14ac:dyDescent="0.3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</row>
    <row r="65" spans="2:69" x14ac:dyDescent="0.3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</row>
    <row r="66" spans="2:69" x14ac:dyDescent="0.3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</row>
    <row r="67" spans="2:69" x14ac:dyDescent="0.3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</row>
    <row r="68" spans="2:69" x14ac:dyDescent="0.3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</row>
    <row r="69" spans="2:69" x14ac:dyDescent="0.3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</row>
    <row r="70" spans="2:69" x14ac:dyDescent="0.3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</row>
    <row r="71" spans="2:69" x14ac:dyDescent="0.3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</row>
    <row r="72" spans="2:69" x14ac:dyDescent="0.3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</row>
    <row r="73" spans="2:69" x14ac:dyDescent="0.3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</row>
    <row r="74" spans="2:69" x14ac:dyDescent="0.3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</row>
    <row r="75" spans="2:69" x14ac:dyDescent="0.3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</row>
    <row r="76" spans="2:69" x14ac:dyDescent="0.3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</row>
    <row r="77" spans="2:69" x14ac:dyDescent="0.3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</row>
    <row r="78" spans="2:69" x14ac:dyDescent="0.3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</row>
    <row r="79" spans="2:69" x14ac:dyDescent="0.3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</row>
    <row r="80" spans="2:69" x14ac:dyDescent="0.3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</row>
    <row r="81" spans="2:69" x14ac:dyDescent="0.3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</row>
    <row r="82" spans="2:69" x14ac:dyDescent="0.3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</row>
    <row r="83" spans="2:69" x14ac:dyDescent="0.3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</row>
    <row r="84" spans="2:69" x14ac:dyDescent="0.3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</row>
    <row r="85" spans="2:69" x14ac:dyDescent="0.3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</row>
    <row r="86" spans="2:69" x14ac:dyDescent="0.3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</row>
    <row r="87" spans="2:69" x14ac:dyDescent="0.3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</row>
    <row r="88" spans="2:69" x14ac:dyDescent="0.3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</row>
    <row r="89" spans="2:69" x14ac:dyDescent="0.3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</row>
    <row r="90" spans="2:69" x14ac:dyDescent="0.3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</row>
    <row r="91" spans="2:69" x14ac:dyDescent="0.3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</row>
    <row r="92" spans="2:69" x14ac:dyDescent="0.3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</row>
    <row r="93" spans="2:69" x14ac:dyDescent="0.3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</row>
    <row r="94" spans="2:69" x14ac:dyDescent="0.3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</row>
    <row r="95" spans="2:69" x14ac:dyDescent="0.3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</row>
    <row r="96" spans="2:69" x14ac:dyDescent="0.3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</row>
    <row r="97" spans="2:69" x14ac:dyDescent="0.3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</row>
    <row r="98" spans="2:69" x14ac:dyDescent="0.3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</row>
    <row r="99" spans="2:69" x14ac:dyDescent="0.3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</row>
    <row r="100" spans="2:69" x14ac:dyDescent="0.3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</row>
    <row r="101" spans="2:69" x14ac:dyDescent="0.3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</row>
    <row r="102" spans="2:69" x14ac:dyDescent="0.3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</row>
    <row r="103" spans="2:69" x14ac:dyDescent="0.3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</row>
    <row r="104" spans="2:69" x14ac:dyDescent="0.3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</row>
    <row r="105" spans="2:69" x14ac:dyDescent="0.3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</row>
    <row r="106" spans="2:69" x14ac:dyDescent="0.3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</row>
    <row r="107" spans="2:69" x14ac:dyDescent="0.3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</row>
    <row r="108" spans="2:69" x14ac:dyDescent="0.3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</row>
    <row r="109" spans="2:69" x14ac:dyDescent="0.3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</row>
    <row r="110" spans="2:69" x14ac:dyDescent="0.3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</row>
    <row r="111" spans="2:69" x14ac:dyDescent="0.3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</row>
    <row r="112" spans="2:69" x14ac:dyDescent="0.3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</row>
    <row r="113" spans="2:69" x14ac:dyDescent="0.3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</row>
    <row r="114" spans="2:69" x14ac:dyDescent="0.3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</row>
    <row r="115" spans="2:69" x14ac:dyDescent="0.3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</row>
    <row r="116" spans="2:69" x14ac:dyDescent="0.3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</row>
    <row r="117" spans="2:69" x14ac:dyDescent="0.3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</row>
    <row r="118" spans="2:69" x14ac:dyDescent="0.3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</row>
    <row r="119" spans="2:69" x14ac:dyDescent="0.3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</row>
    <row r="120" spans="2:69" x14ac:dyDescent="0.3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</row>
    <row r="121" spans="2:69" x14ac:dyDescent="0.3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</row>
    <row r="122" spans="2:69" x14ac:dyDescent="0.3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</row>
    <row r="123" spans="2:69" x14ac:dyDescent="0.3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</row>
    <row r="124" spans="2:69" x14ac:dyDescent="0.3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</row>
    <row r="125" spans="2:69" x14ac:dyDescent="0.3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</row>
    <row r="126" spans="2:69" x14ac:dyDescent="0.3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</row>
    <row r="127" spans="2:69" x14ac:dyDescent="0.3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</row>
    <row r="128" spans="2:69" x14ac:dyDescent="0.3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</row>
    <row r="129" spans="2:69" x14ac:dyDescent="0.3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</row>
    <row r="130" spans="2:69" x14ac:dyDescent="0.3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</row>
    <row r="131" spans="2:69" x14ac:dyDescent="0.3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</row>
    <row r="132" spans="2:69" x14ac:dyDescent="0.3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</row>
    <row r="133" spans="2:69" x14ac:dyDescent="0.3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</row>
    <row r="134" spans="2:69" x14ac:dyDescent="0.3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</row>
    <row r="135" spans="2:69" x14ac:dyDescent="0.3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</row>
    <row r="136" spans="2:69" x14ac:dyDescent="0.3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</row>
    <row r="137" spans="2:69" x14ac:dyDescent="0.3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</row>
    <row r="138" spans="2:69" x14ac:dyDescent="0.3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</row>
    <row r="139" spans="2:69" x14ac:dyDescent="0.3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</row>
    <row r="140" spans="2:69" x14ac:dyDescent="0.3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</row>
    <row r="141" spans="2:69" x14ac:dyDescent="0.3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</row>
    <row r="142" spans="2:69" x14ac:dyDescent="0.3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</row>
    <row r="143" spans="2:69" x14ac:dyDescent="0.3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</row>
    <row r="144" spans="2:69" x14ac:dyDescent="0.3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</row>
    <row r="145" spans="2:69" x14ac:dyDescent="0.3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</row>
    <row r="146" spans="2:69" x14ac:dyDescent="0.3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</row>
    <row r="147" spans="2:69" x14ac:dyDescent="0.3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</row>
    <row r="148" spans="2:69" x14ac:dyDescent="0.3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</row>
    <row r="149" spans="2:69" x14ac:dyDescent="0.3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</row>
    <row r="150" spans="2:69" x14ac:dyDescent="0.3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</row>
    <row r="151" spans="2:69" x14ac:dyDescent="0.3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</row>
    <row r="152" spans="2:69" x14ac:dyDescent="0.3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</row>
    <row r="153" spans="2:69" x14ac:dyDescent="0.3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</row>
    <row r="154" spans="2:69" x14ac:dyDescent="0.3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</row>
    <row r="155" spans="2:69" x14ac:dyDescent="0.3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</row>
    <row r="156" spans="2:69" x14ac:dyDescent="0.3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</row>
    <row r="157" spans="2:69" x14ac:dyDescent="0.3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</row>
    <row r="158" spans="2:69" x14ac:dyDescent="0.3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</row>
    <row r="159" spans="2:69" x14ac:dyDescent="0.3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</row>
    <row r="160" spans="2:69" x14ac:dyDescent="0.3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</row>
    <row r="161" spans="2:69" x14ac:dyDescent="0.3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</row>
    <row r="162" spans="2:69" x14ac:dyDescent="0.3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Murilo Oliveira</cp:lastModifiedBy>
  <dcterms:created xsi:type="dcterms:W3CDTF">2024-12-19T13:13:10Z</dcterms:created>
  <dcterms:modified xsi:type="dcterms:W3CDTF">2026-04-06T02:47:02Z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